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8fdd0a9e15b5/Desktop/data analysis/Projects/checkout-redesign-ab-test-datasets/"/>
    </mc:Choice>
  </mc:AlternateContent>
  <xr:revisionPtr revIDLastSave="0" documentId="8_{ECB675AB-94AC-4F72-9589-04C017E78E6A}" xr6:coauthVersionLast="47" xr6:coauthVersionMax="47" xr10:uidLastSave="{00000000-0000-0000-0000-000000000000}"/>
  <bookViews>
    <workbookView xWindow="-108" yWindow="-108" windowWidth="23256" windowHeight="13896" firstSheet="6" activeTab="7" xr2:uid="{E50B13A4-E829-4235-ADFD-BE0EBDCC2898}"/>
  </bookViews>
  <sheets>
    <sheet name="01_assignments_data_quality" sheetId="2" r:id="rId1"/>
    <sheet name="02_orders_data_quality" sheetId="3" r:id="rId2"/>
    <sheet name="03_ab_test_performance" sheetId="4" r:id="rId3"/>
    <sheet name="04_device_performance" sheetId="5" r:id="rId4"/>
    <sheet name="05_visitor_type_performance" sheetId="7" r:id="rId5"/>
    <sheet name="06_daily_conversion_trend" sheetId="9" r:id="rId6"/>
    <sheet name="07_conversion_lift" sheetId="11" r:id="rId7"/>
    <sheet name="Dashboard" sheetId="1" r:id="rId8"/>
  </sheets>
  <definedNames>
    <definedName name="ExternalData_1" localSheetId="0" hidden="1">'01_assignments_data_quality'!$A$1:$C$2</definedName>
    <definedName name="ExternalData_1" localSheetId="1" hidden="1">'02_orders_data_quality'!$A$1:$C$2</definedName>
    <definedName name="ExternalData_1" localSheetId="2" hidden="1">'03_ab_test_performance'!$A$1:$H$3</definedName>
    <definedName name="ExternalData_1" localSheetId="3" hidden="1">'04_device_performance'!$A$1:$G$7</definedName>
    <definedName name="ExternalData_1" localSheetId="4" hidden="1">'05_visitor_type_performance'!$A$1:$F$5</definedName>
    <definedName name="ExternalData_1" localSheetId="5" hidden="1">'06_daily_conversion_trend'!$A$1:$E$65</definedName>
    <definedName name="ExternalData_1" localSheetId="6" hidden="1">'07_conversion_lift'!$A$1:$H$2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H4" i="1"/>
  <c r="D4" i="1"/>
  <c r="A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E9AD2-CA34-4D52-820C-79312ECB04C5}" keepAlive="1" name="Query - 01_assignments_data_quality" description="Connection to the '01_assignments_data_quality' query in the workbook." type="5" refreshedVersion="8" background="1" saveData="1">
    <dbPr connection="Provider=Microsoft.Mashup.OleDb.1;Data Source=$Workbook$;Location=01_assignments_data_quality;Extended Properties=&quot;&quot;" command="SELECT * FROM [01_assignments_data_quality]"/>
  </connection>
  <connection id="2" xr16:uid="{79460FD2-EDBA-4CB6-AC05-C09174533DC5}" keepAlive="1" name="Query - 02_orders_data_quality" description="Connection to the '02_orders_data_quality' query in the workbook." type="5" refreshedVersion="8" background="1" saveData="1">
    <dbPr connection="Provider=Microsoft.Mashup.OleDb.1;Data Source=$Workbook$;Location=02_orders_data_quality;Extended Properties=&quot;&quot;" command="SELECT * FROM [02_orders_data_quality]"/>
  </connection>
  <connection id="3" xr16:uid="{BBD9325C-DCA4-4C06-977D-BFF49FADD4DB}" keepAlive="1" name="Query - 03_ab_test_performance" description="Connection to the '03_ab_test_performance' query in the workbook." type="5" refreshedVersion="8" background="1" saveData="1">
    <dbPr connection="Provider=Microsoft.Mashup.OleDb.1;Data Source=$Workbook$;Location=03_ab_test_performance;Extended Properties=&quot;&quot;" command="SELECT * FROM [03_ab_test_performance]"/>
  </connection>
  <connection id="4" xr16:uid="{E6A6545D-85F5-4679-BCBC-5C352B3438C0}" keepAlive="1" name="Query - 04_device_performance" description="Connection to the '04_device_performance' query in the workbook." type="5" refreshedVersion="8" background="1" saveData="1">
    <dbPr connection="Provider=Microsoft.Mashup.OleDb.1;Data Source=$Workbook$;Location=04_device_performance;Extended Properties=&quot;&quot;" command="SELECT * FROM [04_device_performance]"/>
  </connection>
  <connection id="5" xr16:uid="{459E55E2-2F48-458A-927D-2CC5264CD4E1}" keepAlive="1" name="Query - 05_visitor_type_performance" description="Connection to the '05_visitor_type_performance' query in the workbook." type="5" refreshedVersion="8" background="1" saveData="1">
    <dbPr connection="Provider=Microsoft.Mashup.OleDb.1;Data Source=$Workbook$;Location=05_visitor_type_performance;Extended Properties=&quot;&quot;" command="SELECT * FROM [05_visitor_type_performance]"/>
  </connection>
  <connection id="6" xr16:uid="{6E24DD1D-D560-400E-A11C-5E8BA696562D}" keepAlive="1" name="Query - 06_daily_conversion_trend" description="Connection to the '06_daily_conversion_trend' query in the workbook." type="5" refreshedVersion="8" background="1" saveData="1">
    <dbPr connection="Provider=Microsoft.Mashup.OleDb.1;Data Source=$Workbook$;Location=06_daily_conversion_trend;Extended Properties=&quot;&quot;" command="SELECT * FROM [06_daily_conversion_trend]"/>
  </connection>
  <connection id="7" xr16:uid="{A216D29C-BA76-49FA-8336-686CEF3BB284}" keepAlive="1" name="Query - 07_conversion_lift" description="Connection to the '07_conversion_lift' query in the workbook." type="5" refreshedVersion="8" background="1" saveData="1">
    <dbPr connection="Provider=Microsoft.Mashup.OleDb.1;Data Source=$Workbook$;Location=07_conversion_lift;Extended Properties=&quot;&quot;" command="SELECT * FROM [07_conversion_lift]"/>
  </connection>
</connections>
</file>

<file path=xl/sharedStrings.xml><?xml version="1.0" encoding="utf-8"?>
<sst xmlns="http://schemas.openxmlformats.org/spreadsheetml/2006/main" count="131" uniqueCount="35">
  <si>
    <t>total_assignments</t>
  </si>
  <si>
    <t>unique_users</t>
  </si>
  <si>
    <t>missing_user_ids</t>
  </si>
  <si>
    <t>total_orders</t>
  </si>
  <si>
    <t>unique_orders</t>
  </si>
  <si>
    <t>variant</t>
  </si>
  <si>
    <t>assigned_users</t>
  </si>
  <si>
    <t>converted_users</t>
  </si>
  <si>
    <t>conversion_rate_pct</t>
  </si>
  <si>
    <t>total_revenue</t>
  </si>
  <si>
    <t>average_order_value</t>
  </si>
  <si>
    <t>revenue_per_user</t>
  </si>
  <si>
    <t>control</t>
  </si>
  <si>
    <t>treatment</t>
  </si>
  <si>
    <t>device</t>
  </si>
  <si>
    <t>desktop</t>
  </si>
  <si>
    <t>mobile</t>
  </si>
  <si>
    <t>tablet</t>
  </si>
  <si>
    <t>visitor_type</t>
  </si>
  <si>
    <t>new</t>
  </si>
  <si>
    <t>returning</t>
  </si>
  <si>
    <t>assignment_date</t>
  </si>
  <si>
    <t>users_control</t>
  </si>
  <si>
    <t>conversions_control</t>
  </si>
  <si>
    <t>control_conversion_pct</t>
  </si>
  <si>
    <t>users_treatment</t>
  </si>
  <si>
    <t>conversions_treatment</t>
  </si>
  <si>
    <t>treatment_conversion_pct</t>
  </si>
  <si>
    <t>absolute_lift_percentage_points</t>
  </si>
  <si>
    <t>relative_lift_pct</t>
  </si>
  <si>
    <t>ETSY | CHECKOUT REDESIGN A/B TEST ANALYSIS</t>
  </si>
  <si>
    <t>Total Users Assigned</t>
  </si>
  <si>
    <t>Control Conversion Rate</t>
  </si>
  <si>
    <t>Treatment Conversion Rate</t>
  </si>
  <si>
    <t>Conversion Lift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</si>
</sst>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Conversion Rate by Variant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'03_ab_test_performance'!$D$1</c:f>
              <c:strCache>
                <c:ptCount val="1"/>
                <c:pt idx="0">
                  <c:v>conversion_rate_pct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'03_ab_test_performance'!$A$2:$A$3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'03_ab_test_performance'!$D$2:$D$3</c:f>
              <c:numCache>
                <c:formatCode>General</c:formatCode>
                <c:ptCount val="2"/>
                <c:pt idx="0">
                  <c:v>7.51</c:v>
                </c:pt>
                <c:pt idx="1">
                  <c:v>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A-46E6-9357-DBEA8F9FE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97092064"/>
        <c:axId val="692550768"/>
      </c:barChart>
      <c:catAx>
        <c:axId val="797092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50768"/>
        <c:crosses val="autoZero"/>
        <c:auto val="1"/>
        <c:lblAlgn val="ctr"/>
        <c:lblOffset val="100"/>
        <c:noMultiLvlLbl val="0"/>
      </c:catAx>
      <c:valAx>
        <c:axId val="692550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9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Daily Conversion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'06_daily_conversion_trend'!$E$1</c:f>
              <c:strCache>
                <c:ptCount val="1"/>
                <c:pt idx="0">
                  <c:v>conversion_rate_pct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'06_daily_conversion_trend'!$A$2:$A$65</c:f>
              <c:numCache>
                <c:formatCode>m/d/yyyy</c:formatCode>
                <c:ptCount val="64"/>
                <c:pt idx="0">
                  <c:v>45902</c:v>
                </c:pt>
                <c:pt idx="1">
                  <c:v>45902</c:v>
                </c:pt>
                <c:pt idx="2">
                  <c:v>45903</c:v>
                </c:pt>
                <c:pt idx="3">
                  <c:v>45903</c:v>
                </c:pt>
                <c:pt idx="4">
                  <c:v>45904</c:v>
                </c:pt>
                <c:pt idx="5">
                  <c:v>45904</c:v>
                </c:pt>
                <c:pt idx="6">
                  <c:v>45905</c:v>
                </c:pt>
                <c:pt idx="7">
                  <c:v>45905</c:v>
                </c:pt>
                <c:pt idx="8">
                  <c:v>45906</c:v>
                </c:pt>
                <c:pt idx="9">
                  <c:v>45906</c:v>
                </c:pt>
                <c:pt idx="10">
                  <c:v>45907</c:v>
                </c:pt>
                <c:pt idx="11">
                  <c:v>45907</c:v>
                </c:pt>
                <c:pt idx="12">
                  <c:v>45908</c:v>
                </c:pt>
                <c:pt idx="13">
                  <c:v>45908</c:v>
                </c:pt>
                <c:pt idx="14">
                  <c:v>45909</c:v>
                </c:pt>
                <c:pt idx="15">
                  <c:v>45909</c:v>
                </c:pt>
                <c:pt idx="16">
                  <c:v>45910</c:v>
                </c:pt>
                <c:pt idx="17">
                  <c:v>45910</c:v>
                </c:pt>
                <c:pt idx="18">
                  <c:v>45911</c:v>
                </c:pt>
                <c:pt idx="19">
                  <c:v>45911</c:v>
                </c:pt>
                <c:pt idx="20">
                  <c:v>45912</c:v>
                </c:pt>
                <c:pt idx="21">
                  <c:v>45912</c:v>
                </c:pt>
                <c:pt idx="22">
                  <c:v>45913</c:v>
                </c:pt>
                <c:pt idx="23">
                  <c:v>45913</c:v>
                </c:pt>
                <c:pt idx="24">
                  <c:v>45914</c:v>
                </c:pt>
                <c:pt idx="25">
                  <c:v>45914</c:v>
                </c:pt>
                <c:pt idx="26">
                  <c:v>45915</c:v>
                </c:pt>
                <c:pt idx="27">
                  <c:v>45915</c:v>
                </c:pt>
                <c:pt idx="28">
                  <c:v>45916</c:v>
                </c:pt>
                <c:pt idx="29">
                  <c:v>45916</c:v>
                </c:pt>
                <c:pt idx="30">
                  <c:v>45917</c:v>
                </c:pt>
                <c:pt idx="31">
                  <c:v>45917</c:v>
                </c:pt>
                <c:pt idx="32">
                  <c:v>45918</c:v>
                </c:pt>
                <c:pt idx="33">
                  <c:v>45918</c:v>
                </c:pt>
                <c:pt idx="34">
                  <c:v>45919</c:v>
                </c:pt>
                <c:pt idx="35">
                  <c:v>45919</c:v>
                </c:pt>
                <c:pt idx="36">
                  <c:v>45920</c:v>
                </c:pt>
                <c:pt idx="37">
                  <c:v>45920</c:v>
                </c:pt>
                <c:pt idx="38">
                  <c:v>45921</c:v>
                </c:pt>
                <c:pt idx="39">
                  <c:v>45921</c:v>
                </c:pt>
                <c:pt idx="40">
                  <c:v>45922</c:v>
                </c:pt>
                <c:pt idx="41">
                  <c:v>45922</c:v>
                </c:pt>
                <c:pt idx="42">
                  <c:v>45923</c:v>
                </c:pt>
                <c:pt idx="43">
                  <c:v>45923</c:v>
                </c:pt>
                <c:pt idx="44">
                  <c:v>45924</c:v>
                </c:pt>
                <c:pt idx="45">
                  <c:v>45924</c:v>
                </c:pt>
                <c:pt idx="46">
                  <c:v>45925</c:v>
                </c:pt>
                <c:pt idx="47">
                  <c:v>45925</c:v>
                </c:pt>
                <c:pt idx="48">
                  <c:v>45926</c:v>
                </c:pt>
                <c:pt idx="49">
                  <c:v>45926</c:v>
                </c:pt>
                <c:pt idx="50">
                  <c:v>45927</c:v>
                </c:pt>
                <c:pt idx="51">
                  <c:v>45927</c:v>
                </c:pt>
                <c:pt idx="52">
                  <c:v>45928</c:v>
                </c:pt>
                <c:pt idx="53">
                  <c:v>45928</c:v>
                </c:pt>
                <c:pt idx="54">
                  <c:v>45929</c:v>
                </c:pt>
                <c:pt idx="55">
                  <c:v>45929</c:v>
                </c:pt>
                <c:pt idx="56">
                  <c:v>45930</c:v>
                </c:pt>
                <c:pt idx="57">
                  <c:v>45930</c:v>
                </c:pt>
                <c:pt idx="58">
                  <c:v>45931</c:v>
                </c:pt>
                <c:pt idx="59">
                  <c:v>45931</c:v>
                </c:pt>
                <c:pt idx="60">
                  <c:v>45932</c:v>
                </c:pt>
                <c:pt idx="61">
                  <c:v>45933</c:v>
                </c:pt>
                <c:pt idx="62">
                  <c:v>45933</c:v>
                </c:pt>
                <c:pt idx="63">
                  <c:v>45934</c:v>
                </c:pt>
              </c:numCache>
            </c:numRef>
          </c:cat>
          <c:val>
            <c:numRef>
              <c:f>'06_daily_conversion_trend'!$E$2:$E$65</c:f>
              <c:numCache>
                <c:formatCode>General</c:formatCode>
                <c:ptCount val="64"/>
                <c:pt idx="0">
                  <c:v>9.82</c:v>
                </c:pt>
                <c:pt idx="1">
                  <c:v>8.33</c:v>
                </c:pt>
                <c:pt idx="2">
                  <c:v>6.54</c:v>
                </c:pt>
                <c:pt idx="3">
                  <c:v>10.27</c:v>
                </c:pt>
                <c:pt idx="4">
                  <c:v>6.24</c:v>
                </c:pt>
                <c:pt idx="5">
                  <c:v>8.25</c:v>
                </c:pt>
                <c:pt idx="6">
                  <c:v>8.32</c:v>
                </c:pt>
                <c:pt idx="7">
                  <c:v>9.69</c:v>
                </c:pt>
                <c:pt idx="8">
                  <c:v>8.57</c:v>
                </c:pt>
                <c:pt idx="9">
                  <c:v>9.17</c:v>
                </c:pt>
                <c:pt idx="10">
                  <c:v>6.65</c:v>
                </c:pt>
                <c:pt idx="11">
                  <c:v>6.59</c:v>
                </c:pt>
                <c:pt idx="12">
                  <c:v>7.69</c:v>
                </c:pt>
                <c:pt idx="13">
                  <c:v>9.23</c:v>
                </c:pt>
                <c:pt idx="14">
                  <c:v>7.4</c:v>
                </c:pt>
                <c:pt idx="15">
                  <c:v>7.76</c:v>
                </c:pt>
                <c:pt idx="16">
                  <c:v>6.27</c:v>
                </c:pt>
                <c:pt idx="17">
                  <c:v>6.88</c:v>
                </c:pt>
                <c:pt idx="18">
                  <c:v>6.33</c:v>
                </c:pt>
                <c:pt idx="19">
                  <c:v>7.45</c:v>
                </c:pt>
                <c:pt idx="20">
                  <c:v>10.45</c:v>
                </c:pt>
                <c:pt idx="21">
                  <c:v>7.79</c:v>
                </c:pt>
                <c:pt idx="22">
                  <c:v>7.78</c:v>
                </c:pt>
                <c:pt idx="23">
                  <c:v>6.51</c:v>
                </c:pt>
                <c:pt idx="24">
                  <c:v>6.84</c:v>
                </c:pt>
                <c:pt idx="25">
                  <c:v>8.32</c:v>
                </c:pt>
                <c:pt idx="26">
                  <c:v>7.2</c:v>
                </c:pt>
                <c:pt idx="27">
                  <c:v>6.91</c:v>
                </c:pt>
                <c:pt idx="28">
                  <c:v>5.88</c:v>
                </c:pt>
                <c:pt idx="29">
                  <c:v>9.01</c:v>
                </c:pt>
                <c:pt idx="30">
                  <c:v>7.47</c:v>
                </c:pt>
                <c:pt idx="31">
                  <c:v>8.9</c:v>
                </c:pt>
                <c:pt idx="32">
                  <c:v>7.22</c:v>
                </c:pt>
                <c:pt idx="33">
                  <c:v>8.3699999999999992</c:v>
                </c:pt>
                <c:pt idx="34">
                  <c:v>8.32</c:v>
                </c:pt>
                <c:pt idx="35">
                  <c:v>7.6</c:v>
                </c:pt>
                <c:pt idx="36">
                  <c:v>7.53</c:v>
                </c:pt>
                <c:pt idx="37">
                  <c:v>8.61</c:v>
                </c:pt>
                <c:pt idx="38">
                  <c:v>9.23</c:v>
                </c:pt>
                <c:pt idx="39">
                  <c:v>7.62</c:v>
                </c:pt>
                <c:pt idx="40">
                  <c:v>6.57</c:v>
                </c:pt>
                <c:pt idx="41">
                  <c:v>8.35</c:v>
                </c:pt>
                <c:pt idx="42">
                  <c:v>7.35</c:v>
                </c:pt>
                <c:pt idx="43">
                  <c:v>6.92</c:v>
                </c:pt>
                <c:pt idx="44">
                  <c:v>8.91</c:v>
                </c:pt>
                <c:pt idx="45">
                  <c:v>8.27</c:v>
                </c:pt>
                <c:pt idx="46">
                  <c:v>8.35</c:v>
                </c:pt>
                <c:pt idx="47">
                  <c:v>7.72</c:v>
                </c:pt>
                <c:pt idx="48">
                  <c:v>7.54</c:v>
                </c:pt>
                <c:pt idx="49">
                  <c:v>8.61</c:v>
                </c:pt>
                <c:pt idx="50">
                  <c:v>5.9</c:v>
                </c:pt>
                <c:pt idx="51">
                  <c:v>7.36</c:v>
                </c:pt>
                <c:pt idx="52">
                  <c:v>9.4499999999999993</c:v>
                </c:pt>
                <c:pt idx="53">
                  <c:v>5.88</c:v>
                </c:pt>
                <c:pt idx="54">
                  <c:v>4.55</c:v>
                </c:pt>
                <c:pt idx="55">
                  <c:v>6.15</c:v>
                </c:pt>
                <c:pt idx="56">
                  <c:v>28.57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A7-4C7F-A65E-31BE45691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068864"/>
        <c:axId val="692571408"/>
      </c:lineChart>
      <c:dateAx>
        <c:axId val="797068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71408"/>
        <c:crosses val="autoZero"/>
        <c:auto val="1"/>
        <c:lblOffset val="100"/>
        <c:baseTimeUnit val="days"/>
      </c:dateAx>
      <c:valAx>
        <c:axId val="692571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6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8</xdr:row>
      <xdr:rowOff>171450</xdr:rowOff>
    </xdr:from>
    <xdr:to>
      <xdr:col>8</xdr:col>
      <xdr:colOff>22860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CAAE37-BFFE-A426-CE69-BD1FF0F49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9</xdr:row>
      <xdr:rowOff>11430</xdr:rowOff>
    </xdr:from>
    <xdr:to>
      <xdr:col>16</xdr:col>
      <xdr:colOff>312420</xdr:colOff>
      <xdr:row>24</xdr:row>
      <xdr:rowOff>11430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F79B74F-E4C8-B4FB-9A7F-1D70CBA00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415F38-FDED-4297-8C7D-1B9802B64703}" autoFormatId="16" applyNumberFormats="0" applyBorderFormats="0" applyFontFormats="0" applyPatternFormats="0" applyAlignmentFormats="0" applyWidthHeightFormats="0">
  <queryTableRefresh nextId="4">
    <queryTableFields count="3">
      <queryTableField id="1" name="total_assignments" tableColumnId="1"/>
      <queryTableField id="2" name="unique_users" tableColumnId="2"/>
      <queryTableField id="3" name="missing_user_id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FF726D5-3C38-4597-9C78-ABF2B89AB3DE}" autoFormatId="16" applyNumberFormats="0" applyBorderFormats="0" applyFontFormats="0" applyPatternFormats="0" applyAlignmentFormats="0" applyWidthHeightFormats="0">
  <queryTableRefresh nextId="4">
    <queryTableFields count="3">
      <queryTableField id="1" name="total_orders" tableColumnId="1"/>
      <queryTableField id="2" name="unique_orders" tableColumnId="2"/>
      <queryTableField id="3" name="missing_user_id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44300FB-580D-4021-BD35-2EB36A705399}" autoFormatId="16" applyNumberFormats="0" applyBorderFormats="0" applyFontFormats="0" applyPatternFormats="0" applyAlignmentFormats="0" applyWidthHeightFormats="0">
  <queryTableRefresh nextId="9">
    <queryTableFields count="8">
      <queryTableField id="1" name="variant" tableColumnId="1"/>
      <queryTableField id="2" name="assigned_users" tableColumnId="2"/>
      <queryTableField id="3" name="converted_users" tableColumnId="3"/>
      <queryTableField id="4" name="conversion_rate_pct" tableColumnId="4"/>
      <queryTableField id="5" name="total_orders" tableColumnId="5"/>
      <queryTableField id="6" name="total_revenue" tableColumnId="6"/>
      <queryTableField id="7" name="average_order_value" tableColumnId="7"/>
      <queryTableField id="8" name="revenue_per_user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F988ADC-63F1-4E80-B831-8E8128F57532}" autoFormatId="16" applyNumberFormats="0" applyBorderFormats="0" applyFontFormats="0" applyPatternFormats="0" applyAlignmentFormats="0" applyWidthHeightFormats="0">
  <queryTableRefresh nextId="8">
    <queryTableFields count="7">
      <queryTableField id="1" name="variant" tableColumnId="1"/>
      <queryTableField id="2" name="device" tableColumnId="2"/>
      <queryTableField id="3" name="assigned_users" tableColumnId="3"/>
      <queryTableField id="4" name="converted_users" tableColumnId="4"/>
      <queryTableField id="5" name="conversion_rate_pct" tableColumnId="5"/>
      <queryTableField id="6" name="total_revenue" tableColumnId="6"/>
      <queryTableField id="7" name="revenue_per_user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BA39722-AA83-4AAF-B4B9-020EDCE7FD43}" autoFormatId="16" applyNumberFormats="0" applyBorderFormats="0" applyFontFormats="0" applyPatternFormats="0" applyAlignmentFormats="0" applyWidthHeightFormats="0">
  <queryTableRefresh nextId="7">
    <queryTableFields count="6">
      <queryTableField id="1" name="variant" tableColumnId="1"/>
      <queryTableField id="2" name="visitor_type" tableColumnId="2"/>
      <queryTableField id="3" name="assigned_users" tableColumnId="3"/>
      <queryTableField id="4" name="converted_users" tableColumnId="4"/>
      <queryTableField id="5" name="conversion_rate_pct" tableColumnId="5"/>
      <queryTableField id="6" name="revenue_per_user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5050837-9372-4278-BCE2-C2FAC8727C04}" autoFormatId="16" applyNumberFormats="0" applyBorderFormats="0" applyFontFormats="0" applyPatternFormats="0" applyAlignmentFormats="0" applyWidthHeightFormats="0">
  <queryTableRefresh nextId="6">
    <queryTableFields count="5">
      <queryTableField id="1" name="assignment_date" tableColumnId="1"/>
      <queryTableField id="2" name="variant" tableColumnId="2"/>
      <queryTableField id="3" name="assigned_users" tableColumnId="3"/>
      <queryTableField id="4" name="converted_users" tableColumnId="4"/>
      <queryTableField id="5" name="conversion_rate_pct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D037FB9-8BE7-4389-A49C-B686236EB5D6}" autoFormatId="16" applyNumberFormats="0" applyBorderFormats="0" applyFontFormats="0" applyPatternFormats="0" applyAlignmentFormats="0" applyWidthHeightFormats="0">
  <queryTableRefresh nextId="9">
    <queryTableFields count="8">
      <queryTableField id="1" name="users_control" tableColumnId="1"/>
      <queryTableField id="2" name="conversions_control" tableColumnId="2"/>
      <queryTableField id="3" name="control_conversion_pct" tableColumnId="3"/>
      <queryTableField id="4" name="users_treatment" tableColumnId="4"/>
      <queryTableField id="5" name="conversions_treatment" tableColumnId="5"/>
      <queryTableField id="6" name="treatment_conversion_pct" tableColumnId="6"/>
      <queryTableField id="7" name="absolute_lift_percentage_points" tableColumnId="7"/>
      <queryTableField id="8" name="relative_lift_pc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0F065-DB79-4AB2-939D-9D98712D5C6D}" name="_01_assignments_data_quality" displayName="_01_assignments_data_quality" ref="A1:C2" tableType="queryTable" totalsRowShown="0">
  <autoFilter ref="A1:C2" xr:uid="{13B0F065-DB79-4AB2-939D-9D98712D5C6D}"/>
  <tableColumns count="3">
    <tableColumn id="1" xr3:uid="{619CFF33-2939-44AD-AC42-F8C8E284563F}" uniqueName="1" name="total_assignments" queryTableFieldId="1"/>
    <tableColumn id="2" xr3:uid="{63595E6B-7CF3-479E-9A8F-0F3DB4A83C61}" uniqueName="2" name="unique_users" queryTableFieldId="2"/>
    <tableColumn id="3" xr3:uid="{CCDC3E47-06AD-4F1A-8F57-D676FCDF57D6}" uniqueName="3" name="missing_user_id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257BDD-92DB-4AD5-BC5F-6094F6CF7680}" name="_02_orders_data_quality" displayName="_02_orders_data_quality" ref="A1:C2" tableType="queryTable" totalsRowShown="0">
  <autoFilter ref="A1:C2" xr:uid="{8E257BDD-92DB-4AD5-BC5F-6094F6CF7680}"/>
  <tableColumns count="3">
    <tableColumn id="1" xr3:uid="{D3BC3CB3-482E-4DD9-BB65-2EF1C87774A6}" uniqueName="1" name="total_orders" queryTableFieldId="1"/>
    <tableColumn id="2" xr3:uid="{0821B0E4-AF6B-44FA-BEDD-7A4655272BF1}" uniqueName="2" name="unique_orders" queryTableFieldId="2"/>
    <tableColumn id="3" xr3:uid="{3BACDEFD-3ECD-4ED4-B891-ABC64BA1E02B}" uniqueName="3" name="missing_user_id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07EEC6-02F7-4496-9CF1-F5ACE53B8AD7}" name="_03_ab_test_performance" displayName="_03_ab_test_performance" ref="A1:H3" tableType="queryTable" totalsRowShown="0">
  <autoFilter ref="A1:H3" xr:uid="{F407EEC6-02F7-4496-9CF1-F5ACE53B8AD7}"/>
  <tableColumns count="8">
    <tableColumn id="1" xr3:uid="{2014D2AC-22F1-416F-8664-524A09ED19B7}" uniqueName="1" name="variant" queryTableFieldId="1" dataDxfId="6"/>
    <tableColumn id="2" xr3:uid="{C2CCF1C6-5FEF-4F63-BAB1-E45BF3B0B79A}" uniqueName="2" name="assigned_users" queryTableFieldId="2"/>
    <tableColumn id="3" xr3:uid="{E274A9B2-CA9F-42B1-80FF-9C0ABBC801BB}" uniqueName="3" name="converted_users" queryTableFieldId="3"/>
    <tableColumn id="4" xr3:uid="{D9605091-5200-4D64-993D-2E018074CA7F}" uniqueName="4" name="conversion_rate_pct" queryTableFieldId="4"/>
    <tableColumn id="5" xr3:uid="{0E530E11-C454-425B-98AB-086CE3FAB21A}" uniqueName="5" name="total_orders" queryTableFieldId="5"/>
    <tableColumn id="6" xr3:uid="{7229F455-1D5F-482B-8BCA-B79719060623}" uniqueName="6" name="total_revenue" queryTableFieldId="6"/>
    <tableColumn id="7" xr3:uid="{7BC863E5-7FEA-4C70-BD58-38271E0CDF55}" uniqueName="7" name="average_order_value" queryTableFieldId="7"/>
    <tableColumn id="8" xr3:uid="{AB6E02B1-DA31-4254-B6A1-FD821CA80C6B}" uniqueName="8" name="revenue_per_user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BC44CF-DD4F-4C96-A9CF-3446E1FC8314}" name="_04_device_performance" displayName="_04_device_performance" ref="A1:G7" tableType="queryTable" totalsRowShown="0">
  <autoFilter ref="A1:G7" xr:uid="{57BC44CF-DD4F-4C96-A9CF-3446E1FC8314}"/>
  <tableColumns count="7">
    <tableColumn id="1" xr3:uid="{D534D3D1-EAC3-48BF-ABA2-22CB6E50B934}" uniqueName="1" name="variant" queryTableFieldId="1" dataDxfId="5"/>
    <tableColumn id="2" xr3:uid="{255220D4-EA4F-4551-9895-A319D67B4F28}" uniqueName="2" name="device" queryTableFieldId="2" dataDxfId="4"/>
    <tableColumn id="3" xr3:uid="{4E6DE03F-4E5E-4189-AF49-B3677A94DFB6}" uniqueName="3" name="assigned_users" queryTableFieldId="3"/>
    <tableColumn id="4" xr3:uid="{CB37FDAE-BC29-4C92-8AE0-1D1BC8B15810}" uniqueName="4" name="converted_users" queryTableFieldId="4"/>
    <tableColumn id="5" xr3:uid="{97DC287B-4E06-4C17-A371-A6BBCAD5C0AC}" uniqueName="5" name="conversion_rate_pct" queryTableFieldId="5"/>
    <tableColumn id="6" xr3:uid="{957A7074-CDDD-454D-964D-2DAB2AB65C07}" uniqueName="6" name="total_revenue" queryTableFieldId="6"/>
    <tableColumn id="7" xr3:uid="{069509C0-D8C4-4857-958F-0ECE1836D7A8}" uniqueName="7" name="revenue_per_user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131B6-BA10-4D60-8090-9CB019F1A0FB}" name="_05_visitor_type_performance" displayName="_05_visitor_type_performance" ref="A1:F5" tableType="queryTable" totalsRowShown="0">
  <autoFilter ref="A1:F5" xr:uid="{2D6131B6-BA10-4D60-8090-9CB019F1A0FB}"/>
  <tableColumns count="6">
    <tableColumn id="1" xr3:uid="{C7268398-F939-4B30-8C6D-FCDC2CA93BC4}" uniqueName="1" name="variant" queryTableFieldId="1" dataDxfId="3"/>
    <tableColumn id="2" xr3:uid="{B11D51DD-111C-487E-8AD3-7CD270830954}" uniqueName="2" name="visitor_type" queryTableFieldId="2" dataDxfId="2"/>
    <tableColumn id="3" xr3:uid="{CE909F25-06E2-440A-A5EE-8A1C7359173E}" uniqueName="3" name="assigned_users" queryTableFieldId="3"/>
    <tableColumn id="4" xr3:uid="{9BE95AA8-712E-41EB-82A6-F71D91D9FFE1}" uniqueName="4" name="converted_users" queryTableFieldId="4"/>
    <tableColumn id="5" xr3:uid="{17A67426-82F1-4B78-B139-8EDD554D4787}" uniqueName="5" name="conversion_rate_pct" queryTableFieldId="5"/>
    <tableColumn id="6" xr3:uid="{240675EE-2107-49D7-A845-819C622D0BE4}" uniqueName="6" name="revenue_per_user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5BCFD4-D323-4AE0-A4EB-0987CD7F3784}" name="_06_daily_conversion_trend" displayName="_06_daily_conversion_trend" ref="A1:E65" tableType="queryTable" totalsRowShown="0">
  <autoFilter ref="A1:E65" xr:uid="{FF5BCFD4-D323-4AE0-A4EB-0987CD7F3784}"/>
  <tableColumns count="5">
    <tableColumn id="1" xr3:uid="{A92F14D5-23A2-44FD-856B-312CC046D416}" uniqueName="1" name="assignment_date" queryTableFieldId="1" dataDxfId="1"/>
    <tableColumn id="2" xr3:uid="{E31C4FF0-B07C-4C09-8633-D9AB562F96C8}" uniqueName="2" name="variant" queryTableFieldId="2" dataDxfId="0"/>
    <tableColumn id="3" xr3:uid="{C8EC6981-E4BB-47A0-8FEF-5338632D747D}" uniqueName="3" name="assigned_users" queryTableFieldId="3"/>
    <tableColumn id="4" xr3:uid="{A7129C1E-4218-4BC0-BDEF-34EC2A95111A}" uniqueName="4" name="converted_users" queryTableFieldId="4"/>
    <tableColumn id="5" xr3:uid="{AD8A934B-D29B-42C0-8C6E-07B3B88BA175}" uniqueName="5" name="conversion_rate_pct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C8E649-F1AE-4DDF-AE90-04EB64C693CC}" name="_07_conversion_lift" displayName="_07_conversion_lift" ref="A1:H2" tableType="queryTable" totalsRowShown="0">
  <autoFilter ref="A1:H2" xr:uid="{43C8E649-F1AE-4DDF-AE90-04EB64C693CC}"/>
  <tableColumns count="8">
    <tableColumn id="1" xr3:uid="{6A86B43B-ECDB-4021-948A-A53DEA1F6426}" uniqueName="1" name="users_control" queryTableFieldId="1"/>
    <tableColumn id="2" xr3:uid="{6F4622FA-BB68-429B-8AD4-5BA742DCBFA0}" uniqueName="2" name="conversions_control" queryTableFieldId="2"/>
    <tableColumn id="3" xr3:uid="{4B8ABCF5-5BB8-4957-8B34-64AC20BD19E9}" uniqueName="3" name="control_conversion_pct" queryTableFieldId="3"/>
    <tableColumn id="4" xr3:uid="{16DF57B4-A3EF-4F41-8F4B-9C6E607C6965}" uniqueName="4" name="users_treatment" queryTableFieldId="4"/>
    <tableColumn id="5" xr3:uid="{97A12A5A-0550-4878-9163-D72DF361D77E}" uniqueName="5" name="conversions_treatment" queryTableFieldId="5"/>
    <tableColumn id="6" xr3:uid="{EB8EBE0A-70FC-4757-B9BE-2C94177791F4}" uniqueName="6" name="treatment_conversion_pct" queryTableFieldId="6"/>
    <tableColumn id="7" xr3:uid="{740D52A7-3C0A-4B14-89C6-13AAEE70607E}" uniqueName="7" name="absolute_lift_percentage_points" queryTableFieldId="7"/>
    <tableColumn id="8" xr3:uid="{980B484A-4461-49C7-8C17-1080BC0217F2}" uniqueName="8" name="relative_lift_pc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D754-9489-4671-958D-212F1F9E074E}">
  <dimension ref="A1:C2"/>
  <sheetViews>
    <sheetView workbookViewId="0"/>
  </sheetViews>
  <sheetFormatPr defaultRowHeight="14.4" x14ac:dyDescent="0.3"/>
  <cols>
    <col min="1" max="1" width="18.5546875" bestFit="1" customWidth="1"/>
    <col min="2" max="2" width="14.44140625" bestFit="1" customWidth="1"/>
    <col min="3" max="3" width="1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31284</v>
      </c>
      <c r="B2">
        <v>31000</v>
      </c>
      <c r="C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5227-C207-4E7F-A8AF-864BD70703BB}">
  <dimension ref="A1:C2"/>
  <sheetViews>
    <sheetView workbookViewId="0"/>
  </sheetViews>
  <sheetFormatPr defaultRowHeight="14.4" x14ac:dyDescent="0.3"/>
  <cols>
    <col min="1" max="1" width="13.44140625" bestFit="1" customWidth="1"/>
    <col min="2" max="2" width="15.5546875" bestFit="1" customWidth="1"/>
    <col min="3" max="3" width="17.44140625" bestFit="1" customWidth="1"/>
  </cols>
  <sheetData>
    <row r="1" spans="1:3" x14ac:dyDescent="0.3">
      <c r="A1" t="s">
        <v>3</v>
      </c>
      <c r="B1" t="s">
        <v>4</v>
      </c>
      <c r="C1" t="s">
        <v>2</v>
      </c>
    </row>
    <row r="2" spans="1:3" x14ac:dyDescent="0.3">
      <c r="A2">
        <v>2670</v>
      </c>
      <c r="B2">
        <v>2670</v>
      </c>
      <c r="C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953C-E2E1-40E2-9879-779B2F603ED1}">
  <dimension ref="A1:H3"/>
  <sheetViews>
    <sheetView workbookViewId="0">
      <selection activeCell="I20" sqref="I20"/>
    </sheetView>
  </sheetViews>
  <sheetFormatPr defaultRowHeight="14.4" x14ac:dyDescent="0.3"/>
  <cols>
    <col min="1" max="1" width="9.21875" bestFit="1" customWidth="1"/>
    <col min="2" max="2" width="15.88671875" bestFit="1" customWidth="1"/>
    <col min="3" max="3" width="17.21875" bestFit="1" customWidth="1"/>
    <col min="4" max="4" width="20.6640625" bestFit="1" customWidth="1"/>
    <col min="5" max="5" width="13.44140625" bestFit="1" customWidth="1"/>
    <col min="6" max="6" width="15" bestFit="1" customWidth="1"/>
    <col min="7" max="7" width="21.21875" bestFit="1" customWidth="1"/>
    <col min="8" max="8" width="18.5546875" bestFit="1" customWidth="1"/>
  </cols>
  <sheetData>
    <row r="1" spans="1:8" x14ac:dyDescent="0.3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</row>
    <row r="2" spans="1:8" x14ac:dyDescent="0.3">
      <c r="A2" s="1" t="s">
        <v>12</v>
      </c>
      <c r="B2">
        <v>15623</v>
      </c>
      <c r="C2">
        <v>1174</v>
      </c>
      <c r="D2">
        <v>7.51</v>
      </c>
      <c r="E2">
        <v>1308</v>
      </c>
      <c r="F2">
        <v>82996.679999999993</v>
      </c>
      <c r="G2">
        <v>63.45</v>
      </c>
      <c r="H2">
        <v>5.31</v>
      </c>
    </row>
    <row r="3" spans="1:8" x14ac:dyDescent="0.3">
      <c r="A3" s="1" t="s">
        <v>13</v>
      </c>
      <c r="B3">
        <v>15661</v>
      </c>
      <c r="C3">
        <v>1242</v>
      </c>
      <c r="D3">
        <v>7.93</v>
      </c>
      <c r="E3">
        <v>1381</v>
      </c>
      <c r="F3">
        <v>89123</v>
      </c>
      <c r="G3">
        <v>64.540000000000006</v>
      </c>
      <c r="H3">
        <v>5.69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8D49-E101-4315-A266-C47EA386F221}">
  <dimension ref="A1:G7"/>
  <sheetViews>
    <sheetView workbookViewId="0"/>
  </sheetViews>
  <sheetFormatPr defaultRowHeight="14.4" x14ac:dyDescent="0.3"/>
  <cols>
    <col min="1" max="1" width="9.21875" bestFit="1" customWidth="1"/>
    <col min="2" max="2" width="8.6640625" bestFit="1" customWidth="1"/>
    <col min="3" max="3" width="15.88671875" bestFit="1" customWidth="1"/>
    <col min="4" max="4" width="17.21875" bestFit="1" customWidth="1"/>
    <col min="5" max="5" width="20.6640625" bestFit="1" customWidth="1"/>
    <col min="6" max="6" width="15" bestFit="1" customWidth="1"/>
    <col min="7" max="7" width="18.5546875" bestFit="1" customWidth="1"/>
  </cols>
  <sheetData>
    <row r="1" spans="1:7" x14ac:dyDescent="0.3">
      <c r="A1" t="s">
        <v>5</v>
      </c>
      <c r="B1" t="s">
        <v>14</v>
      </c>
      <c r="C1" t="s">
        <v>6</v>
      </c>
      <c r="D1" t="s">
        <v>7</v>
      </c>
      <c r="E1" t="s">
        <v>8</v>
      </c>
      <c r="F1" t="s">
        <v>9</v>
      </c>
      <c r="G1" t="s">
        <v>11</v>
      </c>
    </row>
    <row r="2" spans="1:7" x14ac:dyDescent="0.3">
      <c r="A2" s="1" t="s">
        <v>12</v>
      </c>
      <c r="B2" s="1" t="s">
        <v>15</v>
      </c>
      <c r="C2">
        <v>7540</v>
      </c>
      <c r="D2">
        <v>587</v>
      </c>
      <c r="E2">
        <v>7.79</v>
      </c>
      <c r="F2">
        <v>42058.82</v>
      </c>
      <c r="G2">
        <v>5.58</v>
      </c>
    </row>
    <row r="3" spans="1:7" x14ac:dyDescent="0.3">
      <c r="A3" s="1" t="s">
        <v>13</v>
      </c>
      <c r="B3" s="1" t="s">
        <v>15</v>
      </c>
      <c r="C3">
        <v>7742</v>
      </c>
      <c r="D3">
        <v>795</v>
      </c>
      <c r="E3">
        <v>10.27</v>
      </c>
      <c r="F3">
        <v>56933.39</v>
      </c>
      <c r="G3">
        <v>7.35</v>
      </c>
    </row>
    <row r="4" spans="1:7" x14ac:dyDescent="0.3">
      <c r="A4" s="1" t="s">
        <v>12</v>
      </c>
      <c r="B4" s="1" t="s">
        <v>16</v>
      </c>
      <c r="C4">
        <v>6801</v>
      </c>
      <c r="D4">
        <v>497</v>
      </c>
      <c r="E4">
        <v>7.31</v>
      </c>
      <c r="F4">
        <v>34544.54</v>
      </c>
      <c r="G4">
        <v>5.08</v>
      </c>
    </row>
    <row r="5" spans="1:7" x14ac:dyDescent="0.3">
      <c r="A5" s="1" t="s">
        <v>13</v>
      </c>
      <c r="B5" s="1" t="s">
        <v>16</v>
      </c>
      <c r="C5">
        <v>6671</v>
      </c>
      <c r="D5">
        <v>381</v>
      </c>
      <c r="E5">
        <v>5.71</v>
      </c>
      <c r="F5">
        <v>27577.39</v>
      </c>
      <c r="G5">
        <v>4.13</v>
      </c>
    </row>
    <row r="6" spans="1:7" x14ac:dyDescent="0.3">
      <c r="A6" s="1" t="s">
        <v>12</v>
      </c>
      <c r="B6" s="1" t="s">
        <v>17</v>
      </c>
      <c r="C6">
        <v>1282</v>
      </c>
      <c r="D6">
        <v>90</v>
      </c>
      <c r="E6">
        <v>7.02</v>
      </c>
      <c r="F6">
        <v>6393.32</v>
      </c>
      <c r="G6">
        <v>4.99</v>
      </c>
    </row>
    <row r="7" spans="1:7" x14ac:dyDescent="0.3">
      <c r="A7" s="1" t="s">
        <v>13</v>
      </c>
      <c r="B7" s="1" t="s">
        <v>17</v>
      </c>
      <c r="C7">
        <v>1248</v>
      </c>
      <c r="D7">
        <v>66</v>
      </c>
      <c r="E7">
        <v>5.29</v>
      </c>
      <c r="F7">
        <v>4612.22</v>
      </c>
      <c r="G7">
        <v>3.7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C204-F955-4DCF-BFD1-1C849BF021C1}">
  <dimension ref="A1:F5"/>
  <sheetViews>
    <sheetView topLeftCell="B1" workbookViewId="0"/>
  </sheetViews>
  <sheetFormatPr defaultRowHeight="14.4" x14ac:dyDescent="0.3"/>
  <cols>
    <col min="1" max="1" width="9.21875" bestFit="1" customWidth="1"/>
    <col min="2" max="2" width="13.109375" bestFit="1" customWidth="1"/>
    <col min="3" max="3" width="15.88671875" bestFit="1" customWidth="1"/>
    <col min="4" max="4" width="17.21875" bestFit="1" customWidth="1"/>
    <col min="5" max="5" width="20.6640625" bestFit="1" customWidth="1"/>
    <col min="6" max="6" width="18.5546875" bestFit="1" customWidth="1"/>
  </cols>
  <sheetData>
    <row r="1" spans="1:6" x14ac:dyDescent="0.3">
      <c r="A1" t="s">
        <v>5</v>
      </c>
      <c r="B1" t="s">
        <v>18</v>
      </c>
      <c r="C1" t="s">
        <v>6</v>
      </c>
      <c r="D1" t="s">
        <v>7</v>
      </c>
      <c r="E1" t="s">
        <v>8</v>
      </c>
      <c r="F1" t="s">
        <v>11</v>
      </c>
    </row>
    <row r="2" spans="1:6" x14ac:dyDescent="0.3">
      <c r="A2" s="1" t="s">
        <v>12</v>
      </c>
      <c r="B2" s="1" t="s">
        <v>19</v>
      </c>
      <c r="C2">
        <v>9606</v>
      </c>
      <c r="D2">
        <v>609</v>
      </c>
      <c r="E2">
        <v>6.34</v>
      </c>
      <c r="F2">
        <v>4.37</v>
      </c>
    </row>
    <row r="3" spans="1:6" x14ac:dyDescent="0.3">
      <c r="A3" s="1" t="s">
        <v>13</v>
      </c>
      <c r="B3" s="1" t="s">
        <v>19</v>
      </c>
      <c r="C3">
        <v>9694</v>
      </c>
      <c r="D3">
        <v>629</v>
      </c>
      <c r="E3">
        <v>6.49</v>
      </c>
      <c r="F3">
        <v>4.75</v>
      </c>
    </row>
    <row r="4" spans="1:6" x14ac:dyDescent="0.3">
      <c r="A4" s="1" t="s">
        <v>12</v>
      </c>
      <c r="B4" s="1" t="s">
        <v>20</v>
      </c>
      <c r="C4">
        <v>6017</v>
      </c>
      <c r="D4">
        <v>565</v>
      </c>
      <c r="E4">
        <v>9.39</v>
      </c>
      <c r="F4">
        <v>6.82</v>
      </c>
    </row>
    <row r="5" spans="1:6" x14ac:dyDescent="0.3">
      <c r="A5" s="1" t="s">
        <v>13</v>
      </c>
      <c r="B5" s="1" t="s">
        <v>20</v>
      </c>
      <c r="C5">
        <v>5967</v>
      </c>
      <c r="D5">
        <v>613</v>
      </c>
      <c r="E5">
        <v>10.27</v>
      </c>
      <c r="F5">
        <v>7.22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5D92-30E2-43AC-806D-8BBC897E84B5}">
  <dimension ref="A1:E65"/>
  <sheetViews>
    <sheetView topLeftCell="A48" workbookViewId="0">
      <selection activeCell="M33" sqref="M33"/>
    </sheetView>
  </sheetViews>
  <sheetFormatPr defaultRowHeight="14.4" x14ac:dyDescent="0.3"/>
  <cols>
    <col min="1" max="1" width="17.6640625" bestFit="1" customWidth="1"/>
    <col min="2" max="2" width="9.21875" bestFit="1" customWidth="1"/>
    <col min="3" max="3" width="15.88671875" bestFit="1" customWidth="1"/>
    <col min="4" max="4" width="17.21875" bestFit="1" customWidth="1"/>
    <col min="5" max="5" width="20.6640625" bestFit="1" customWidth="1"/>
  </cols>
  <sheetData>
    <row r="1" spans="1:5" x14ac:dyDescent="0.3">
      <c r="A1" t="s">
        <v>21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s="2">
        <v>45902</v>
      </c>
      <c r="B2" s="1" t="s">
        <v>12</v>
      </c>
      <c r="C2">
        <v>550</v>
      </c>
      <c r="D2">
        <v>54</v>
      </c>
      <c r="E2">
        <v>9.82</v>
      </c>
    </row>
    <row r="3" spans="1:5" x14ac:dyDescent="0.3">
      <c r="A3" s="2">
        <v>45902</v>
      </c>
      <c r="B3" s="1" t="s">
        <v>13</v>
      </c>
      <c r="C3">
        <v>528</v>
      </c>
      <c r="D3">
        <v>44</v>
      </c>
      <c r="E3">
        <v>8.33</v>
      </c>
    </row>
    <row r="4" spans="1:5" x14ac:dyDescent="0.3">
      <c r="A4" s="2">
        <v>45903</v>
      </c>
      <c r="B4" s="1" t="s">
        <v>12</v>
      </c>
      <c r="C4">
        <v>581</v>
      </c>
      <c r="D4">
        <v>38</v>
      </c>
      <c r="E4">
        <v>6.54</v>
      </c>
    </row>
    <row r="5" spans="1:5" x14ac:dyDescent="0.3">
      <c r="A5" s="2">
        <v>45903</v>
      </c>
      <c r="B5" s="1" t="s">
        <v>13</v>
      </c>
      <c r="C5">
        <v>565</v>
      </c>
      <c r="D5">
        <v>58</v>
      </c>
      <c r="E5">
        <v>10.27</v>
      </c>
    </row>
    <row r="6" spans="1:5" x14ac:dyDescent="0.3">
      <c r="A6" s="2">
        <v>45904</v>
      </c>
      <c r="B6" s="1" t="s">
        <v>12</v>
      </c>
      <c r="C6">
        <v>561</v>
      </c>
      <c r="D6">
        <v>35</v>
      </c>
      <c r="E6">
        <v>6.24</v>
      </c>
    </row>
    <row r="7" spans="1:5" x14ac:dyDescent="0.3">
      <c r="A7" s="2">
        <v>45904</v>
      </c>
      <c r="B7" s="1" t="s">
        <v>13</v>
      </c>
      <c r="C7">
        <v>521</v>
      </c>
      <c r="D7">
        <v>43</v>
      </c>
      <c r="E7">
        <v>8.25</v>
      </c>
    </row>
    <row r="8" spans="1:5" x14ac:dyDescent="0.3">
      <c r="A8" s="2">
        <v>45905</v>
      </c>
      <c r="B8" s="1" t="s">
        <v>12</v>
      </c>
      <c r="C8">
        <v>529</v>
      </c>
      <c r="D8">
        <v>44</v>
      </c>
      <c r="E8">
        <v>8.32</v>
      </c>
    </row>
    <row r="9" spans="1:5" x14ac:dyDescent="0.3">
      <c r="A9" s="2">
        <v>45905</v>
      </c>
      <c r="B9" s="1" t="s">
        <v>13</v>
      </c>
      <c r="C9">
        <v>557</v>
      </c>
      <c r="D9">
        <v>54</v>
      </c>
      <c r="E9">
        <v>9.69</v>
      </c>
    </row>
    <row r="10" spans="1:5" x14ac:dyDescent="0.3">
      <c r="A10" s="2">
        <v>45906</v>
      </c>
      <c r="B10" s="1" t="s">
        <v>12</v>
      </c>
      <c r="C10">
        <v>502</v>
      </c>
      <c r="D10">
        <v>43</v>
      </c>
      <c r="E10">
        <v>8.57</v>
      </c>
    </row>
    <row r="11" spans="1:5" x14ac:dyDescent="0.3">
      <c r="A11" s="2">
        <v>45906</v>
      </c>
      <c r="B11" s="1" t="s">
        <v>13</v>
      </c>
      <c r="C11">
        <v>578</v>
      </c>
      <c r="D11">
        <v>53</v>
      </c>
      <c r="E11">
        <v>9.17</v>
      </c>
    </row>
    <row r="12" spans="1:5" x14ac:dyDescent="0.3">
      <c r="A12" s="2">
        <v>45907</v>
      </c>
      <c r="B12" s="1" t="s">
        <v>12</v>
      </c>
      <c r="C12">
        <v>541</v>
      </c>
      <c r="D12">
        <v>36</v>
      </c>
      <c r="E12">
        <v>6.65</v>
      </c>
    </row>
    <row r="13" spans="1:5" x14ac:dyDescent="0.3">
      <c r="A13" s="2">
        <v>45907</v>
      </c>
      <c r="B13" s="1" t="s">
        <v>13</v>
      </c>
      <c r="C13">
        <v>592</v>
      </c>
      <c r="D13">
        <v>39</v>
      </c>
      <c r="E13">
        <v>6.59</v>
      </c>
    </row>
    <row r="14" spans="1:5" x14ac:dyDescent="0.3">
      <c r="A14" s="2">
        <v>45908</v>
      </c>
      <c r="B14" s="1" t="s">
        <v>12</v>
      </c>
      <c r="C14">
        <v>533</v>
      </c>
      <c r="D14">
        <v>41</v>
      </c>
      <c r="E14">
        <v>7.69</v>
      </c>
    </row>
    <row r="15" spans="1:5" x14ac:dyDescent="0.3">
      <c r="A15" s="2">
        <v>45908</v>
      </c>
      <c r="B15" s="1" t="s">
        <v>13</v>
      </c>
      <c r="C15">
        <v>585</v>
      </c>
      <c r="D15">
        <v>54</v>
      </c>
      <c r="E15">
        <v>9.23</v>
      </c>
    </row>
    <row r="16" spans="1:5" x14ac:dyDescent="0.3">
      <c r="A16" s="2">
        <v>45909</v>
      </c>
      <c r="B16" s="1" t="s">
        <v>12</v>
      </c>
      <c r="C16">
        <v>581</v>
      </c>
      <c r="D16">
        <v>43</v>
      </c>
      <c r="E16">
        <v>7.4</v>
      </c>
    </row>
    <row r="17" spans="1:5" x14ac:dyDescent="0.3">
      <c r="A17" s="2">
        <v>45909</v>
      </c>
      <c r="B17" s="1" t="s">
        <v>13</v>
      </c>
      <c r="C17">
        <v>554</v>
      </c>
      <c r="D17">
        <v>43</v>
      </c>
      <c r="E17">
        <v>7.76</v>
      </c>
    </row>
    <row r="18" spans="1:5" x14ac:dyDescent="0.3">
      <c r="A18" s="2">
        <v>45910</v>
      </c>
      <c r="B18" s="1" t="s">
        <v>12</v>
      </c>
      <c r="C18">
        <v>526</v>
      </c>
      <c r="D18">
        <v>33</v>
      </c>
      <c r="E18">
        <v>6.27</v>
      </c>
    </row>
    <row r="19" spans="1:5" x14ac:dyDescent="0.3">
      <c r="A19" s="2">
        <v>45910</v>
      </c>
      <c r="B19" s="1" t="s">
        <v>13</v>
      </c>
      <c r="C19">
        <v>538</v>
      </c>
      <c r="D19">
        <v>37</v>
      </c>
      <c r="E19">
        <v>6.88</v>
      </c>
    </row>
    <row r="20" spans="1:5" x14ac:dyDescent="0.3">
      <c r="A20" s="2">
        <v>45911</v>
      </c>
      <c r="B20" s="1" t="s">
        <v>12</v>
      </c>
      <c r="C20">
        <v>569</v>
      </c>
      <c r="D20">
        <v>36</v>
      </c>
      <c r="E20">
        <v>6.33</v>
      </c>
    </row>
    <row r="21" spans="1:5" x14ac:dyDescent="0.3">
      <c r="A21" s="2">
        <v>45911</v>
      </c>
      <c r="B21" s="1" t="s">
        <v>13</v>
      </c>
      <c r="C21">
        <v>564</v>
      </c>
      <c r="D21">
        <v>42</v>
      </c>
      <c r="E21">
        <v>7.45</v>
      </c>
    </row>
    <row r="22" spans="1:5" x14ac:dyDescent="0.3">
      <c r="A22" s="2">
        <v>45912</v>
      </c>
      <c r="B22" s="1" t="s">
        <v>12</v>
      </c>
      <c r="C22">
        <v>555</v>
      </c>
      <c r="D22">
        <v>58</v>
      </c>
      <c r="E22">
        <v>10.45</v>
      </c>
    </row>
    <row r="23" spans="1:5" x14ac:dyDescent="0.3">
      <c r="A23" s="2">
        <v>45912</v>
      </c>
      <c r="B23" s="1" t="s">
        <v>13</v>
      </c>
      <c r="C23">
        <v>565</v>
      </c>
      <c r="D23">
        <v>44</v>
      </c>
      <c r="E23">
        <v>7.79</v>
      </c>
    </row>
    <row r="24" spans="1:5" x14ac:dyDescent="0.3">
      <c r="A24" s="2">
        <v>45913</v>
      </c>
      <c r="B24" s="1" t="s">
        <v>12</v>
      </c>
      <c r="C24">
        <v>604</v>
      </c>
      <c r="D24">
        <v>47</v>
      </c>
      <c r="E24">
        <v>7.78</v>
      </c>
    </row>
    <row r="25" spans="1:5" x14ac:dyDescent="0.3">
      <c r="A25" s="2">
        <v>45913</v>
      </c>
      <c r="B25" s="1" t="s">
        <v>13</v>
      </c>
      <c r="C25">
        <v>538</v>
      </c>
      <c r="D25">
        <v>35</v>
      </c>
      <c r="E25">
        <v>6.51</v>
      </c>
    </row>
    <row r="26" spans="1:5" x14ac:dyDescent="0.3">
      <c r="A26" s="2">
        <v>45914</v>
      </c>
      <c r="B26" s="1" t="s">
        <v>12</v>
      </c>
      <c r="C26">
        <v>526</v>
      </c>
      <c r="D26">
        <v>36</v>
      </c>
      <c r="E26">
        <v>6.84</v>
      </c>
    </row>
    <row r="27" spans="1:5" x14ac:dyDescent="0.3">
      <c r="A27" s="2">
        <v>45914</v>
      </c>
      <c r="B27" s="1" t="s">
        <v>13</v>
      </c>
      <c r="C27">
        <v>529</v>
      </c>
      <c r="D27">
        <v>44</v>
      </c>
      <c r="E27">
        <v>8.32</v>
      </c>
    </row>
    <row r="28" spans="1:5" x14ac:dyDescent="0.3">
      <c r="A28" s="2">
        <v>45915</v>
      </c>
      <c r="B28" s="1" t="s">
        <v>12</v>
      </c>
      <c r="C28">
        <v>542</v>
      </c>
      <c r="D28">
        <v>39</v>
      </c>
      <c r="E28">
        <v>7.2</v>
      </c>
    </row>
    <row r="29" spans="1:5" x14ac:dyDescent="0.3">
      <c r="A29" s="2">
        <v>45915</v>
      </c>
      <c r="B29" s="1" t="s">
        <v>13</v>
      </c>
      <c r="C29">
        <v>564</v>
      </c>
      <c r="D29">
        <v>39</v>
      </c>
      <c r="E29">
        <v>6.91</v>
      </c>
    </row>
    <row r="30" spans="1:5" x14ac:dyDescent="0.3">
      <c r="A30" s="2">
        <v>45916</v>
      </c>
      <c r="B30" s="1" t="s">
        <v>12</v>
      </c>
      <c r="C30">
        <v>544</v>
      </c>
      <c r="D30">
        <v>32</v>
      </c>
      <c r="E30">
        <v>5.88</v>
      </c>
    </row>
    <row r="31" spans="1:5" x14ac:dyDescent="0.3">
      <c r="A31" s="2">
        <v>45916</v>
      </c>
      <c r="B31" s="1" t="s">
        <v>13</v>
      </c>
      <c r="C31">
        <v>555</v>
      </c>
      <c r="D31">
        <v>50</v>
      </c>
      <c r="E31">
        <v>9.01</v>
      </c>
    </row>
    <row r="32" spans="1:5" x14ac:dyDescent="0.3">
      <c r="A32" s="2">
        <v>45917</v>
      </c>
      <c r="B32" s="1" t="s">
        <v>12</v>
      </c>
      <c r="C32">
        <v>576</v>
      </c>
      <c r="D32">
        <v>43</v>
      </c>
      <c r="E32">
        <v>7.47</v>
      </c>
    </row>
    <row r="33" spans="1:5" x14ac:dyDescent="0.3">
      <c r="A33" s="2">
        <v>45917</v>
      </c>
      <c r="B33" s="1" t="s">
        <v>13</v>
      </c>
      <c r="C33">
        <v>573</v>
      </c>
      <c r="D33">
        <v>51</v>
      </c>
      <c r="E33">
        <v>8.9</v>
      </c>
    </row>
    <row r="34" spans="1:5" x14ac:dyDescent="0.3">
      <c r="A34" s="2">
        <v>45918</v>
      </c>
      <c r="B34" s="1" t="s">
        <v>12</v>
      </c>
      <c r="C34">
        <v>568</v>
      </c>
      <c r="D34">
        <v>41</v>
      </c>
      <c r="E34">
        <v>7.22</v>
      </c>
    </row>
    <row r="35" spans="1:5" x14ac:dyDescent="0.3">
      <c r="A35" s="2">
        <v>45918</v>
      </c>
      <c r="B35" s="1" t="s">
        <v>13</v>
      </c>
      <c r="C35">
        <v>526</v>
      </c>
      <c r="D35">
        <v>44</v>
      </c>
      <c r="E35">
        <v>8.3699999999999992</v>
      </c>
    </row>
    <row r="36" spans="1:5" x14ac:dyDescent="0.3">
      <c r="A36" s="2">
        <v>45919</v>
      </c>
      <c r="B36" s="1" t="s">
        <v>12</v>
      </c>
      <c r="C36">
        <v>517</v>
      </c>
      <c r="D36">
        <v>43</v>
      </c>
      <c r="E36">
        <v>8.32</v>
      </c>
    </row>
    <row r="37" spans="1:5" x14ac:dyDescent="0.3">
      <c r="A37" s="2">
        <v>45919</v>
      </c>
      <c r="B37" s="1" t="s">
        <v>13</v>
      </c>
      <c r="C37">
        <v>566</v>
      </c>
      <c r="D37">
        <v>43</v>
      </c>
      <c r="E37">
        <v>7.6</v>
      </c>
    </row>
    <row r="38" spans="1:5" x14ac:dyDescent="0.3">
      <c r="A38" s="2">
        <v>45920</v>
      </c>
      <c r="B38" s="1" t="s">
        <v>12</v>
      </c>
      <c r="C38">
        <v>558</v>
      </c>
      <c r="D38">
        <v>42</v>
      </c>
      <c r="E38">
        <v>7.53</v>
      </c>
    </row>
    <row r="39" spans="1:5" x14ac:dyDescent="0.3">
      <c r="A39" s="2">
        <v>45920</v>
      </c>
      <c r="B39" s="1" t="s">
        <v>13</v>
      </c>
      <c r="C39">
        <v>546</v>
      </c>
      <c r="D39">
        <v>47</v>
      </c>
      <c r="E39">
        <v>8.61</v>
      </c>
    </row>
    <row r="40" spans="1:5" x14ac:dyDescent="0.3">
      <c r="A40" s="2">
        <v>45921</v>
      </c>
      <c r="B40" s="1" t="s">
        <v>12</v>
      </c>
      <c r="C40">
        <v>585</v>
      </c>
      <c r="D40">
        <v>54</v>
      </c>
      <c r="E40">
        <v>9.23</v>
      </c>
    </row>
    <row r="41" spans="1:5" x14ac:dyDescent="0.3">
      <c r="A41" s="2">
        <v>45921</v>
      </c>
      <c r="B41" s="1" t="s">
        <v>13</v>
      </c>
      <c r="C41">
        <v>564</v>
      </c>
      <c r="D41">
        <v>43</v>
      </c>
      <c r="E41">
        <v>7.62</v>
      </c>
    </row>
    <row r="42" spans="1:5" x14ac:dyDescent="0.3">
      <c r="A42" s="2">
        <v>45922</v>
      </c>
      <c r="B42" s="1" t="s">
        <v>12</v>
      </c>
      <c r="C42">
        <v>578</v>
      </c>
      <c r="D42">
        <v>38</v>
      </c>
      <c r="E42">
        <v>6.57</v>
      </c>
    </row>
    <row r="43" spans="1:5" x14ac:dyDescent="0.3">
      <c r="A43" s="2">
        <v>45922</v>
      </c>
      <c r="B43" s="1" t="s">
        <v>13</v>
      </c>
      <c r="C43">
        <v>539</v>
      </c>
      <c r="D43">
        <v>45</v>
      </c>
      <c r="E43">
        <v>8.35</v>
      </c>
    </row>
    <row r="44" spans="1:5" x14ac:dyDescent="0.3">
      <c r="A44" s="2">
        <v>45923</v>
      </c>
      <c r="B44" s="1" t="s">
        <v>12</v>
      </c>
      <c r="C44">
        <v>558</v>
      </c>
      <c r="D44">
        <v>41</v>
      </c>
      <c r="E44">
        <v>7.35</v>
      </c>
    </row>
    <row r="45" spans="1:5" x14ac:dyDescent="0.3">
      <c r="A45" s="2">
        <v>45923</v>
      </c>
      <c r="B45" s="1" t="s">
        <v>13</v>
      </c>
      <c r="C45">
        <v>607</v>
      </c>
      <c r="D45">
        <v>42</v>
      </c>
      <c r="E45">
        <v>6.92</v>
      </c>
    </row>
    <row r="46" spans="1:5" x14ac:dyDescent="0.3">
      <c r="A46" s="2">
        <v>45924</v>
      </c>
      <c r="B46" s="1" t="s">
        <v>12</v>
      </c>
      <c r="C46">
        <v>561</v>
      </c>
      <c r="D46">
        <v>50</v>
      </c>
      <c r="E46">
        <v>8.91</v>
      </c>
    </row>
    <row r="47" spans="1:5" x14ac:dyDescent="0.3">
      <c r="A47" s="2">
        <v>45924</v>
      </c>
      <c r="B47" s="1" t="s">
        <v>13</v>
      </c>
      <c r="C47">
        <v>520</v>
      </c>
      <c r="D47">
        <v>43</v>
      </c>
      <c r="E47">
        <v>8.27</v>
      </c>
    </row>
    <row r="48" spans="1:5" x14ac:dyDescent="0.3">
      <c r="A48" s="2">
        <v>45925</v>
      </c>
      <c r="B48" s="1" t="s">
        <v>12</v>
      </c>
      <c r="C48">
        <v>587</v>
      </c>
      <c r="D48">
        <v>49</v>
      </c>
      <c r="E48">
        <v>8.35</v>
      </c>
    </row>
    <row r="49" spans="1:5" x14ac:dyDescent="0.3">
      <c r="A49" s="2">
        <v>45925</v>
      </c>
      <c r="B49" s="1" t="s">
        <v>13</v>
      </c>
      <c r="C49">
        <v>557</v>
      </c>
      <c r="D49">
        <v>43</v>
      </c>
      <c r="E49">
        <v>7.72</v>
      </c>
    </row>
    <row r="50" spans="1:5" x14ac:dyDescent="0.3">
      <c r="A50" s="2">
        <v>45926</v>
      </c>
      <c r="B50" s="1" t="s">
        <v>12</v>
      </c>
      <c r="C50">
        <v>570</v>
      </c>
      <c r="D50">
        <v>43</v>
      </c>
      <c r="E50">
        <v>7.54</v>
      </c>
    </row>
    <row r="51" spans="1:5" x14ac:dyDescent="0.3">
      <c r="A51" s="2">
        <v>45926</v>
      </c>
      <c r="B51" s="1" t="s">
        <v>13</v>
      </c>
      <c r="C51">
        <v>546</v>
      </c>
      <c r="D51">
        <v>47</v>
      </c>
      <c r="E51">
        <v>8.61</v>
      </c>
    </row>
    <row r="52" spans="1:5" x14ac:dyDescent="0.3">
      <c r="A52" s="2">
        <v>45927</v>
      </c>
      <c r="B52" s="1" t="s">
        <v>12</v>
      </c>
      <c r="C52">
        <v>576</v>
      </c>
      <c r="D52">
        <v>34</v>
      </c>
      <c r="E52">
        <v>5.9</v>
      </c>
    </row>
    <row r="53" spans="1:5" x14ac:dyDescent="0.3">
      <c r="A53" s="2">
        <v>45927</v>
      </c>
      <c r="B53" s="1" t="s">
        <v>13</v>
      </c>
      <c r="C53">
        <v>611</v>
      </c>
      <c r="D53">
        <v>45</v>
      </c>
      <c r="E53">
        <v>7.36</v>
      </c>
    </row>
    <row r="54" spans="1:5" x14ac:dyDescent="0.3">
      <c r="A54" s="2">
        <v>45928</v>
      </c>
      <c r="B54" s="1" t="s">
        <v>12</v>
      </c>
      <c r="C54">
        <v>561</v>
      </c>
      <c r="D54">
        <v>53</v>
      </c>
      <c r="E54">
        <v>9.4499999999999993</v>
      </c>
    </row>
    <row r="55" spans="1:5" x14ac:dyDescent="0.3">
      <c r="A55" s="2">
        <v>45928</v>
      </c>
      <c r="B55" s="1" t="s">
        <v>13</v>
      </c>
      <c r="C55">
        <v>612</v>
      </c>
      <c r="D55">
        <v>36</v>
      </c>
      <c r="E55">
        <v>5.88</v>
      </c>
    </row>
    <row r="56" spans="1:5" x14ac:dyDescent="0.3">
      <c r="A56" s="2">
        <v>45929</v>
      </c>
      <c r="B56" s="1" t="s">
        <v>12</v>
      </c>
      <c r="C56">
        <v>572</v>
      </c>
      <c r="D56">
        <v>26</v>
      </c>
      <c r="E56">
        <v>4.55</v>
      </c>
    </row>
    <row r="57" spans="1:5" x14ac:dyDescent="0.3">
      <c r="A57" s="2">
        <v>45929</v>
      </c>
      <c r="B57" s="1" t="s">
        <v>13</v>
      </c>
      <c r="C57">
        <v>553</v>
      </c>
      <c r="D57">
        <v>34</v>
      </c>
      <c r="E57">
        <v>6.15</v>
      </c>
    </row>
    <row r="58" spans="1:5" x14ac:dyDescent="0.3">
      <c r="A58" s="2">
        <v>45930</v>
      </c>
      <c r="B58" s="1" t="s">
        <v>12</v>
      </c>
      <c r="C58">
        <v>7</v>
      </c>
      <c r="D58">
        <v>2</v>
      </c>
      <c r="E58">
        <v>28.57</v>
      </c>
    </row>
    <row r="59" spans="1:5" x14ac:dyDescent="0.3">
      <c r="A59" s="2">
        <v>45930</v>
      </c>
      <c r="B59" s="1" t="s">
        <v>13</v>
      </c>
      <c r="C59">
        <v>3</v>
      </c>
      <c r="D59">
        <v>0</v>
      </c>
      <c r="E59">
        <v>0</v>
      </c>
    </row>
    <row r="60" spans="1:5" x14ac:dyDescent="0.3">
      <c r="A60" s="2">
        <v>45931</v>
      </c>
      <c r="B60" s="1" t="s">
        <v>12</v>
      </c>
      <c r="C60">
        <v>3</v>
      </c>
      <c r="D60">
        <v>0</v>
      </c>
      <c r="E60">
        <v>0</v>
      </c>
    </row>
    <row r="61" spans="1:5" x14ac:dyDescent="0.3">
      <c r="A61" s="2">
        <v>45931</v>
      </c>
      <c r="B61" s="1" t="s">
        <v>13</v>
      </c>
      <c r="C61">
        <v>2</v>
      </c>
      <c r="D61">
        <v>0</v>
      </c>
      <c r="E61">
        <v>0</v>
      </c>
    </row>
    <row r="62" spans="1:5" x14ac:dyDescent="0.3">
      <c r="A62" s="2">
        <v>45932</v>
      </c>
      <c r="B62" s="1" t="s">
        <v>13</v>
      </c>
      <c r="C62">
        <v>1</v>
      </c>
      <c r="D62">
        <v>0</v>
      </c>
      <c r="E62">
        <v>0</v>
      </c>
    </row>
    <row r="63" spans="1:5" x14ac:dyDescent="0.3">
      <c r="A63" s="2">
        <v>45933</v>
      </c>
      <c r="B63" s="1" t="s">
        <v>12</v>
      </c>
      <c r="C63">
        <v>2</v>
      </c>
      <c r="D63">
        <v>0</v>
      </c>
      <c r="E63">
        <v>0</v>
      </c>
    </row>
    <row r="64" spans="1:5" x14ac:dyDescent="0.3">
      <c r="A64" s="2">
        <v>45933</v>
      </c>
      <c r="B64" s="1" t="s">
        <v>13</v>
      </c>
      <c r="C64">
        <v>1</v>
      </c>
      <c r="D64">
        <v>0</v>
      </c>
      <c r="E64">
        <v>0</v>
      </c>
    </row>
    <row r="65" spans="1:5" x14ac:dyDescent="0.3">
      <c r="A65" s="2">
        <v>45934</v>
      </c>
      <c r="B65" s="1" t="s">
        <v>13</v>
      </c>
      <c r="C65">
        <v>1</v>
      </c>
      <c r="D65">
        <v>0</v>
      </c>
      <c r="E6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CD09-DC34-43DC-8A82-B0402EC411F5}">
  <dimension ref="A1:H2"/>
  <sheetViews>
    <sheetView workbookViewId="0"/>
  </sheetViews>
  <sheetFormatPr defaultRowHeight="14.4" x14ac:dyDescent="0.3"/>
  <cols>
    <col min="1" max="1" width="14.5546875" bestFit="1" customWidth="1"/>
    <col min="2" max="2" width="20.44140625" bestFit="1" customWidth="1"/>
    <col min="3" max="3" width="23.33203125" bestFit="1" customWidth="1"/>
    <col min="4" max="4" width="17.109375" bestFit="1" customWidth="1"/>
    <col min="5" max="5" width="22.88671875" bestFit="1" customWidth="1"/>
    <col min="6" max="6" width="25.88671875" bestFit="1" customWidth="1"/>
    <col min="7" max="7" width="30.77734375" bestFit="1" customWidth="1"/>
    <col min="8" max="8" width="16.44140625" bestFit="1" customWidth="1"/>
  </cols>
  <sheetData>
    <row r="1" spans="1:8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3">
      <c r="A2">
        <v>15623</v>
      </c>
      <c r="B2">
        <v>1174</v>
      </c>
      <c r="C2">
        <v>7.51</v>
      </c>
      <c r="D2">
        <v>15661</v>
      </c>
      <c r="E2">
        <v>1242</v>
      </c>
      <c r="F2">
        <v>7.93</v>
      </c>
      <c r="G2">
        <v>0.42</v>
      </c>
      <c r="H2">
        <v>5.59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1F19-BCEE-447C-8949-0AA99819CDAB}">
  <dimension ref="A1:M4"/>
  <sheetViews>
    <sheetView tabSelected="1" topLeftCell="I1" workbookViewId="0">
      <selection activeCell="L4" sqref="L4"/>
    </sheetView>
  </sheetViews>
  <sheetFormatPr defaultRowHeight="14.4" x14ac:dyDescent="0.3"/>
  <sheetData>
    <row r="1" spans="1:13" x14ac:dyDescent="0.3">
      <c r="E1" t="s">
        <v>30</v>
      </c>
    </row>
    <row r="3" spans="1:13" x14ac:dyDescent="0.3">
      <c r="A3" s="3" t="s">
        <v>31</v>
      </c>
      <c r="B3" s="3"/>
      <c r="D3" s="3" t="s">
        <v>32</v>
      </c>
      <c r="E3" s="3"/>
      <c r="F3" s="3"/>
      <c r="H3" s="3" t="s">
        <v>33</v>
      </c>
      <c r="I3" s="3"/>
      <c r="J3" s="3"/>
      <c r="L3" s="3" t="s">
        <v>34</v>
      </c>
      <c r="M3" s="3"/>
    </row>
    <row r="4" spans="1:13" x14ac:dyDescent="0.3">
      <c r="A4" s="3">
        <f>SUM('03_ab_test_performance'!B2:B3)</f>
        <v>31284</v>
      </c>
      <c r="B4" s="3"/>
      <c r="D4" s="3">
        <f>'03_ab_test_performance'!D2</f>
        <v>7.51</v>
      </c>
      <c r="E4" s="3"/>
      <c r="F4" s="3"/>
      <c r="H4" s="3">
        <f>'03_ab_test_performance'!D3</f>
        <v>7.93</v>
      </c>
      <c r="I4" s="3"/>
      <c r="J4" s="3"/>
      <c r="L4" s="4">
        <f>(7.93-7.51)/7.51*100</f>
        <v>5.5925432756324893</v>
      </c>
      <c r="M4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4F3613-7699-4AF9-AAE7-B90D807914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01_assignments_data_quality</vt:lpstr>
      <vt:lpstr>02_orders_data_quality</vt:lpstr>
      <vt:lpstr>03_ab_test_performance</vt:lpstr>
      <vt:lpstr>04_device_performance</vt:lpstr>
      <vt:lpstr>05_visitor_type_performance</vt:lpstr>
      <vt:lpstr>06_daily_conversion_trend</vt:lpstr>
      <vt:lpstr>07_conversion_lift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Salokhe</dc:creator>
  <cp:lastModifiedBy>Vaishnavi Salokhe</cp:lastModifiedBy>
  <dcterms:created xsi:type="dcterms:W3CDTF">2026-10-11T17:33:16Z</dcterms:created>
  <dcterms:modified xsi:type="dcterms:W3CDTF">2026-10-11T17:52:22Z</dcterms:modified>
</cp:coreProperties>
</file>